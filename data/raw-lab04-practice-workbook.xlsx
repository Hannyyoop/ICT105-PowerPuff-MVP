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abel/Downloads/"/>
    </mc:Choice>
  </mc:AlternateContent>
  <xr:revisionPtr revIDLastSave="0" documentId="8_{33B4181C-0AD1-9F46-95A2-845E1EC954B0}" xr6:coauthVersionLast="47" xr6:coauthVersionMax="47" xr10:uidLastSave="{00000000-0000-0000-0000-000000000000}"/>
  <bookViews>
    <workbookView xWindow="0" yWindow="720" windowWidth="29400" windowHeight="18400" xr2:uid="{00000000-000D-0000-FFFF-FFFF00000000}"/>
  </bookViews>
  <sheets>
    <sheet name="Evidence_Summary" sheetId="1" r:id="rId1"/>
    <sheet name="Persona_Template" sheetId="2" r:id="rId2"/>
    <sheet name="Requirements_Backlog" sheetId="3" r:id="rId3"/>
    <sheet name="User_Stories" sheetId="4" r:id="rId4"/>
    <sheet name="MVP_Prioritization" sheetId="5" r:id="rId5"/>
    <sheet name="Traceability_Matrix" sheetId="6" r:id="rId6"/>
    <sheet name="Instruction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5" l="1"/>
  <c r="I7" i="5"/>
  <c r="I6" i="5"/>
  <c r="I5" i="5"/>
  <c r="I4" i="5"/>
  <c r="I3" i="5"/>
  <c r="I2" i="5"/>
</calcChain>
</file>

<file path=xl/sharedStrings.xml><?xml version="1.0" encoding="utf-8"?>
<sst xmlns="http://schemas.openxmlformats.org/spreadsheetml/2006/main" count="345" uniqueCount="259">
  <si>
    <t>Evidence ID</t>
  </si>
  <si>
    <t>Respondent Type</t>
  </si>
  <si>
    <t>Current Workaround</t>
  </si>
  <si>
    <t>Pain Point / Quote Summary</t>
  </si>
  <si>
    <t>Frequency (1-5)</t>
  </si>
  <si>
    <t>Severity (1-5)</t>
  </si>
  <si>
    <t>Evidence Type</t>
  </si>
  <si>
    <t>Related Requirement Area</t>
  </si>
  <si>
    <t>E01</t>
  </si>
  <si>
    <t>Student</t>
  </si>
  <si>
    <t>Interview</t>
  </si>
  <si>
    <t>E02</t>
  </si>
  <si>
    <t>E03</t>
  </si>
  <si>
    <t>E04</t>
  </si>
  <si>
    <t>Security staff</t>
  </si>
  <si>
    <t>E05</t>
  </si>
  <si>
    <t>Survey</t>
  </si>
  <si>
    <t>E06</t>
  </si>
  <si>
    <t>E07</t>
  </si>
  <si>
    <t>E08</t>
  </si>
  <si>
    <t>E09</t>
  </si>
  <si>
    <t>E10</t>
  </si>
  <si>
    <t>Practice Case</t>
  </si>
  <si>
    <t>Main Evidence Pattern</t>
  </si>
  <si>
    <t>Design Implication</t>
  </si>
  <si>
    <t>Persona Section</t>
  </si>
  <si>
    <t>Practice Case Example</t>
  </si>
  <si>
    <t>Your Group Case Input</t>
  </si>
  <si>
    <t>Persona Name</t>
  </si>
  <si>
    <t>Nara, Year 1 International Student</t>
  </si>
  <si>
    <t>User Type</t>
  </si>
  <si>
    <t>Student who loses personal items on campus</t>
  </si>
  <si>
    <t>Context</t>
  </si>
  <si>
    <t>Studies in different classrooms and often moves between library, canteen, and activity areas.</t>
  </si>
  <si>
    <t>Goals</t>
  </si>
  <si>
    <t>Find lost items quickly; know where to report or claim found items; avoid wasting time checking many places.</t>
  </si>
  <si>
    <t>Pain Points</t>
  </si>
  <si>
    <t>No single reporting channel; group chat posts disappear; no status tracking; unclear claim process.</t>
  </si>
  <si>
    <t>Current Alternatives</t>
  </si>
  <si>
    <t>Ask friends, post in chat groups, visit security office, ask lecturers or event organizers.</t>
  </si>
  <si>
    <t>Digital Skill Level</t>
  </si>
  <si>
    <t>Comfortable with mobile web forms, search/filter functions, and notifications.</t>
  </si>
  <si>
    <t>Evidence Used</t>
  </si>
  <si>
    <t>E01, E02, E05, E06, E08, E10</t>
  </si>
  <si>
    <t>The product should be mobile-friendly, searchable, and show report/claim status.</t>
  </si>
  <si>
    <t>Req ID</t>
  </si>
  <si>
    <t>Type</t>
  </si>
  <si>
    <t>Requirement Statement</t>
  </si>
  <si>
    <t>Evidence Source</t>
  </si>
  <si>
    <t>Priority</t>
  </si>
  <si>
    <t>Final Prototype Must Show?</t>
  </si>
  <si>
    <t>Acceptance Test / Verification Method</t>
  </si>
  <si>
    <t>Owner</t>
  </si>
  <si>
    <t>FR-01</t>
  </si>
  <si>
    <t>Functional</t>
  </si>
  <si>
    <t>The system shall allow users to submit a lost item report with item category, description, last seen location, date/time, and contact method.</t>
  </si>
  <si>
    <t>E01,E02,E05,E10</t>
  </si>
  <si>
    <t>Must</t>
  </si>
  <si>
    <t>Yes</t>
  </si>
  <si>
    <t>Submit a lost-item form and verify that the item appears in the report list.</t>
  </si>
  <si>
    <t>FR-02</t>
  </si>
  <si>
    <t>The system shall allow users or staff to submit a found item report with category, photo/reference, found location, found date/time, and storage location.</t>
  </si>
  <si>
    <t>E03,E04,E07</t>
  </si>
  <si>
    <t>Submit a found-item form and verify that the item appears in the searchable list.</t>
  </si>
  <si>
    <t>FR-03</t>
  </si>
  <si>
    <t>The system shall provide search and filter functions by item category, location, date, and status.</t>
  </si>
  <si>
    <t>E01,E02,E05,E08</t>
  </si>
  <si>
    <t>Search by category and location; verify matching records are displayed.</t>
  </si>
  <si>
    <t>FR-04</t>
  </si>
  <si>
    <t>The system shall allow a user to submit a claim request for an item without displaying sensitive ownership details publicly.</t>
  </si>
  <si>
    <t>E06,E09</t>
  </si>
  <si>
    <t>Should</t>
  </si>
  <si>
    <t>Submit claim request with private verification notes; confirm public page hides sensitive details.</t>
  </si>
  <si>
    <t>FR-05</t>
  </si>
  <si>
    <t>The admin/security role shall update item status as Reported, Stored, Claimed, Returned, or Closed.</t>
  </si>
  <si>
    <t>E02,E04,E10</t>
  </si>
  <si>
    <t>Change status in admin view and verify user-facing status is updated.</t>
  </si>
  <si>
    <t>FR-06</t>
  </si>
  <si>
    <t>The system may provide a notification or update message when an item status changes.</t>
  </si>
  <si>
    <t>Could</t>
  </si>
  <si>
    <t>Optional</t>
  </si>
  <si>
    <t>Show a simulated notification log or email/message status update.</t>
  </si>
  <si>
    <t>NFR-01</t>
  </si>
  <si>
    <t>Non-Functional</t>
  </si>
  <si>
    <t>The interface shall be usable on a mobile screen because students commonly report or search while moving around campus.</t>
  </si>
  <si>
    <t>E01,E05,E08</t>
  </si>
  <si>
    <t>Demonstrate mobile-responsive layout or mobile Figma frame.</t>
  </si>
  <si>
    <t>NFR-02</t>
  </si>
  <si>
    <t>The system shall avoid exposing personal identifiers or private claim details on the public listing page.</t>
  </si>
  <si>
    <t>Review sample listing and confirm sensitive information is hidden.</t>
  </si>
  <si>
    <t>NFR-03</t>
  </si>
  <si>
    <t>The prototype shall load and filter the demo dataset within three seconds for classroom demonstration.</t>
  </si>
  <si>
    <t>E02,E04,E05</t>
  </si>
  <si>
    <t>Test with the provided sample dataset and record screen/demo timing.</t>
  </si>
  <si>
    <t>NFR-04</t>
  </si>
  <si>
    <t>The project files shall be documented in GitHub with clear README, issues, commits, and weekly logbook updates.</t>
  </si>
  <si>
    <t>Course requirement</t>
  </si>
  <si>
    <t>Instructor reviews GitHub commit history, README, and lab documentation.</t>
  </si>
  <si>
    <t>Story ID</t>
  </si>
  <si>
    <t>Role</t>
  </si>
  <si>
    <t>User Story</t>
  </si>
  <si>
    <t>Related Requirement</t>
  </si>
  <si>
    <t>Acceptance Criteria</t>
  </si>
  <si>
    <t>Demo Evidence</t>
  </si>
  <si>
    <t>US-01</t>
  </si>
  <si>
    <t>As a student, I want to submit a lost item report so that other users or staff can help match my lost item.</t>
  </si>
  <si>
    <t>Given I am on the lost item form, when I enter item details and submit, then the system saves the report and shows it in the report list.</t>
  </si>
  <si>
    <t>Form screenshot + sample record</t>
  </si>
  <si>
    <t>US-02</t>
  </si>
  <si>
    <t>Finder/Student</t>
  </si>
  <si>
    <t>As a finder, I want to submit a found item report so that the item can be returned to the correct owner.</t>
  </si>
  <si>
    <t>Given I found an item, when I submit category/location/date details, then the found item becomes searchable with non-sensitive information.</t>
  </si>
  <si>
    <t>Form screenshot + list view</t>
  </si>
  <si>
    <t>US-03</t>
  </si>
  <si>
    <t>As a student, I want to search and filter found items so that I can quickly check whether my lost item has been reported.</t>
  </si>
  <si>
    <t>Given there are found item records, when I filter by category and location, then only matching records are shown.</t>
  </si>
  <si>
    <t>Search/filter demo</t>
  </si>
  <si>
    <t>US-04</t>
  </si>
  <si>
    <t>As a claimant, I want to submit a claim request privately so that I can describe proof of ownership without exposing personal information.</t>
  </si>
  <si>
    <t>FR-04,NFR-02</t>
  </si>
  <si>
    <t>Given I select an item, when I submit private claim details, then admin/security can review them while the public listing remains private.</t>
  </si>
  <si>
    <t>Claim form demo</t>
  </si>
  <si>
    <t>US-05</t>
  </si>
  <si>
    <t>Security/Admin</t>
  </si>
  <si>
    <t>As security staff, I want to update item status so that students can know whether an item is stored, claimed, returned, or closed.</t>
  </si>
  <si>
    <t>Given I am in the admin view, when I update status, then the user-facing listing reflects the new status.</t>
  </si>
  <si>
    <t>Admin/status demo</t>
  </si>
  <si>
    <t>US-06</t>
  </si>
  <si>
    <t>As a student, I want to see report or claim status so that I do not need to repeatedly ask staff for updates.</t>
  </si>
  <si>
    <t>FR-05,FR-06</t>
  </si>
  <si>
    <t>Given a report or claim exists, when the status changes, then the user can see the latest status or notification log.</t>
  </si>
  <si>
    <t>Status view or mock notification</t>
  </si>
  <si>
    <t>Feature ID</t>
  </si>
  <si>
    <t>Feature Name</t>
  </si>
  <si>
    <t>Problem Solved</t>
  </si>
  <si>
    <t>Related Stories</t>
  </si>
  <si>
    <t>MoSCoW Priority</t>
  </si>
  <si>
    <t>Technical Complexity (1-5)</t>
  </si>
  <si>
    <t>User Value (1-5)</t>
  </si>
  <si>
    <t>Evidence Strength (1-5)</t>
  </si>
  <si>
    <t>MVP Score</t>
  </si>
  <si>
    <t>Include in Final Prototype?</t>
  </si>
  <si>
    <t>Notes</t>
  </si>
  <si>
    <t>F01</t>
  </si>
  <si>
    <t>Lost item report form</t>
  </si>
  <si>
    <t>Students lack structured reporting channel</t>
  </si>
  <si>
    <t>Can be implemented using form + database/spreadsheet</t>
  </si>
  <si>
    <t>F02</t>
  </si>
  <si>
    <t>Found item report form</t>
  </si>
  <si>
    <t>Finders/staff need standard recording method</t>
  </si>
  <si>
    <t>Should include category, location, date, photo/reference</t>
  </si>
  <si>
    <t>F03</t>
  </si>
  <si>
    <t>Search and filter page</t>
  </si>
  <si>
    <t>Students waste time checking multiple places</t>
  </si>
  <si>
    <t>Core prototype screen</t>
  </si>
  <si>
    <t>F04</t>
  </si>
  <si>
    <t>Claim request form</t>
  </si>
  <si>
    <t>Students need private ownership verification</t>
  </si>
  <si>
    <t>Include privacy-friendly fields</t>
  </si>
  <si>
    <t>F05</t>
  </si>
  <si>
    <t>Admin status update</t>
  </si>
  <si>
    <t>Manual tracking causes unclear item status</t>
  </si>
  <si>
    <t>Needed for final demo</t>
  </si>
  <si>
    <t>F06</t>
  </si>
  <si>
    <t>Notification/message simulation</t>
  </si>
  <si>
    <t>Students want updates after report/claim</t>
  </si>
  <si>
    <t>Can be mocked if time is limited</t>
  </si>
  <si>
    <t>F07</t>
  </si>
  <si>
    <t>AI image matching suggestion</t>
  </si>
  <si>
    <t>Could help match lost/found items</t>
  </si>
  <si>
    <t>Future</t>
  </si>
  <si>
    <t>Won't for MVP</t>
  </si>
  <si>
    <t>No</t>
  </si>
  <si>
    <t>Too complex for current semester scope unless simplified</t>
  </si>
  <si>
    <t>Problem Pattern</t>
  </si>
  <si>
    <t>Requirement ID</t>
  </si>
  <si>
    <t>User Story ID</t>
  </si>
  <si>
    <t>MVP Feature</t>
  </si>
  <si>
    <t>Prototype Screen / Module</t>
  </si>
  <si>
    <t>Final Deliverable Evidence</t>
  </si>
  <si>
    <t>No reliable channel to find/report lost items</t>
  </si>
  <si>
    <t>FR-01,FR-02,FR-03</t>
  </si>
  <si>
    <t>US-01,US-02,US-03</t>
  </si>
  <si>
    <t>F01,F02,F03</t>
  </si>
  <si>
    <t>Report forms + Search/filter page</t>
  </si>
  <si>
    <t>Working form, stored sample data, search/filter demo</t>
  </si>
  <si>
    <t>E04,E07</t>
  </si>
  <si>
    <t>Manual staff recording is inconsistent and slow</t>
  </si>
  <si>
    <t>FR-02,FR-05</t>
  </si>
  <si>
    <t>US-02,US-05</t>
  </si>
  <si>
    <t>F02,F05</t>
  </si>
  <si>
    <t>Admin/status update page</t>
  </si>
  <si>
    <t>Admin record update demo + status field</t>
  </si>
  <si>
    <t>Claim process needs privacy and verification</t>
  </si>
  <si>
    <t>Claim request page</t>
  </si>
  <si>
    <t>Private claim details hidden from public listing</t>
  </si>
  <si>
    <t>Users need status update after reporting</t>
  </si>
  <si>
    <t>US-05,US-06</t>
  </si>
  <si>
    <t>F05,F06</t>
  </si>
  <si>
    <t>Status view/notification log</t>
  </si>
  <si>
    <t>Status tracking demo; notification can be simulated</t>
  </si>
  <si>
    <t>Repository must show development process</t>
  </si>
  <si>
    <t>All</t>
  </si>
  <si>
    <t>GitHub README/issues/logbook</t>
  </si>
  <si>
    <t>GitHub commit history and documentation review</t>
  </si>
  <si>
    <t>Lab 04 Practice Workbook</t>
  </si>
  <si>
    <t>Use this workbook to learn how to transform Lab 03 evidence into persona, requirements, user stories, MVP features, and final-prototype traceability.</t>
  </si>
  <si>
    <t>Important Rule</t>
  </si>
  <si>
    <t>This practice case is only for learning. Your main task is to repeat the same process using your own group case from Lab 02 and Lab 03.</t>
  </si>
  <si>
    <t>GitHub Rule</t>
  </si>
  <si>
    <t>Use only one GitHub repository/page per group. All members must contribute to the same repository. Do not create separate individual repositories for the same project.</t>
  </si>
  <si>
    <t>Final Project Rule</t>
  </si>
  <si>
    <t>Requirements written in Lab 04 become the baseline for the final prototype at the end of the semester. Changes are allowed only if the reason is documented in the weekly logbook and GitHub issues.</t>
  </si>
  <si>
    <t>Required Student Files</t>
  </si>
  <si>
    <t>/docs/user-persona.md, /docs/system-requirements.md, /docs/user-stories.md, /docs/mvp-feature-list.md, /diagrams/user-flow.png, /diagrams/use-case-diagram.png, /docs/weekly-logbook.md, README.md</t>
  </si>
  <si>
    <t>Observed Context</t>
  </si>
  <si>
    <t>Student Club Participant</t>
  </si>
  <si>
    <t>Could not find an available study room during exam week</t>
  </si>
  <si>
    <t>Group arrived but the reserved room was already occupied</t>
  </si>
  <si>
    <t>Needed a room for a group assignment</t>
  </si>
  <si>
    <t>Wanted to reserve a room before arriving</t>
  </si>
  <si>
    <t>Students repeatedly ask which rooms are free</t>
  </si>
  <si>
    <t>Booking status was unclear</t>
  </si>
  <si>
    <t>Didn't know study rooms could be booked</t>
  </si>
  <si>
    <t>Needed a quiet room for research</t>
  </si>
  <si>
    <t>Wanted to extend a booking</t>
  </si>
  <si>
    <t>Needed a study room for a club committee meeting</t>
  </si>
  <si>
    <t>Walked around library looking for an empty room</t>
  </si>
  <si>
    <t>Looked for another room</t>
  </si>
  <si>
    <t>Used the cafeteria instead</t>
  </si>
  <si>
    <t>Asked library staff</t>
  </si>
  <si>
    <t>Asked classmates</t>
  </si>
  <si>
    <t>Walked around the library</t>
  </si>
  <si>
    <t>Stayed in the room and hoped no one needed it</t>
  </si>
  <si>
    <t>Contacted staff</t>
  </si>
  <si>
    <t>Asked club members to find another room</t>
  </si>
  <si>
    <t>There should be a way to prevent double bookings.</t>
  </si>
  <si>
    <t>I wasted time searching because I didn't know which rooms were available.</t>
  </si>
  <si>
    <t>The cafeteria is too noisy for studying</t>
  </si>
  <si>
    <t>Booking should be done online instead of asking staff.</t>
  </si>
  <si>
    <t>Answering the same questions every day takes too much time.</t>
  </si>
  <si>
    <t>I don't know whether my booking is approved.</t>
  </si>
  <si>
    <t>There should be clear instructions for first-time users.</t>
  </si>
  <si>
    <t>Live room availability would save a lot of time.</t>
  </si>
  <si>
    <t>It should be possible to extend a booking if the room is still available</t>
  </si>
  <si>
    <t>Group bookings are difficult without a reservation system.</t>
  </si>
  <si>
    <t>Real-time room availability</t>
  </si>
  <si>
    <t>Booking conflict prevention</t>
  </si>
  <si>
    <t>Room search and booking</t>
  </si>
  <si>
    <t>Online reservation</t>
  </si>
  <si>
    <t>Staff dashboard</t>
  </si>
  <si>
    <t>Booking status tracking</t>
  </si>
  <si>
    <t>User guidance</t>
  </si>
  <si>
    <t>Live room status</t>
  </si>
  <si>
    <t>Booking extension</t>
  </si>
  <si>
    <t>Group booking feature</t>
  </si>
  <si>
    <t>Smart University Study Room Booking System</t>
  </si>
  <si>
    <t>Students have difficulty finding, reserving, and managing study room bookings due to the lack of a centralized booking system. Staff also spend significant time handling room availability inquiries manually.</t>
  </si>
  <si>
    <t>The MVP should support room availability checking, online booking, booking confirmation, conflict prevention, booking status tracking, and an admin dashboard for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</si>
</sst>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8"/>
      <name val="Carlito"/>
    </font>
  </fonts>
  <fills count="9">
    <fill>
      <patternFill patternType="none"/>
    </fill>
    <fill>
      <patternFill patternType="gray125"/>
    </fill>
    <fill>
      <patternFill patternType="solid">
        <fgColor rgb="FF0F766E"/>
      </patternFill>
    </fill>
    <fill>
      <patternFill patternType="solid">
        <fgColor rgb="FF4F46E5"/>
      </patternFill>
    </fill>
    <fill>
      <patternFill patternType="solid">
        <fgColor rgb="FF2563EB"/>
      </patternFill>
    </fill>
    <fill>
      <patternFill patternType="solid">
        <fgColor rgb="FFEA580C"/>
      </patternFill>
    </fill>
    <fill>
      <patternFill patternType="solid">
        <fgColor rgb="FF16A34A"/>
      </patternFill>
    </fill>
    <fill>
      <patternFill patternType="solid">
        <fgColor rgb="FF111827"/>
      </patternFill>
    </fill>
    <fill>
      <patternFill patternType="solid">
        <fgColor rgb="FF6B728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0" fillId="0" borderId="0" xfId="0" applyAlignment="1">
      <alignment wrapText="1"/>
    </xf>
    <xf numFmtId="0" fontId="1" fillId="3" borderId="0" xfId="0" applyFont="1" applyFill="1" applyAlignment="1">
      <alignment horizontal="center" wrapText="1"/>
    </xf>
    <xf numFmtId="0" fontId="1" fillId="4" borderId="0" xfId="0" applyFont="1" applyFill="1" applyAlignment="1">
      <alignment horizontal="center" vertical="center"/>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1" xfId="0" applyFont="1" applyFill="1"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idenceSummaryTable" displayName="EvidenceSummaryTable" ref="A1:I11">
  <tableColumns count="9">
    <tableColumn id="1" xr3:uid="{00000000-0010-0000-0000-000001000000}" name="Evidence ID"/>
    <tableColumn id="2" xr3:uid="{00000000-0010-0000-0000-000002000000}" name="Respondent Type"/>
    <tableColumn id="3" xr3:uid="{00000000-0010-0000-0000-000003000000}" name="Observed Context"/>
    <tableColumn id="4" xr3:uid="{00000000-0010-0000-0000-000004000000}" name="Current Workaround"/>
    <tableColumn id="5" xr3:uid="{00000000-0010-0000-0000-000005000000}" name="Pain Point / Quote Summary"/>
    <tableColumn id="6" xr3:uid="{00000000-0010-0000-0000-000006000000}" name="Frequency (1-5)"/>
    <tableColumn id="7" xr3:uid="{00000000-0010-0000-0000-000007000000}" name="Severity (1-5)"/>
    <tableColumn id="8" xr3:uid="{00000000-0010-0000-0000-000008000000}" name="Evidence Type"/>
    <tableColumn id="9" xr3:uid="{00000000-0010-0000-0000-000009000000}" name="Related Requirement Are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quirementsBacklogTable" displayName="RequirementsBacklogTable" ref="A1:H11">
  <tableColumns count="8">
    <tableColumn id="1" xr3:uid="{00000000-0010-0000-0100-000001000000}" name="Req ID"/>
    <tableColumn id="2" xr3:uid="{00000000-0010-0000-0100-000002000000}" name="Type"/>
    <tableColumn id="3" xr3:uid="{00000000-0010-0000-0100-000003000000}" name="Requirement Statement"/>
    <tableColumn id="4" xr3:uid="{00000000-0010-0000-0100-000004000000}" name="Evidence Source"/>
    <tableColumn id="5" xr3:uid="{00000000-0010-0000-0100-000005000000}" name="Priority"/>
    <tableColumn id="6" xr3:uid="{00000000-0010-0000-0100-000006000000}" name="Final Prototype Must Show?"/>
    <tableColumn id="7" xr3:uid="{00000000-0010-0000-0100-000007000000}" name="Acceptance Test / Verification Method"/>
    <tableColumn id="8" xr3:uid="{00000000-0010-0000-0100-000008000000}" name="Own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serStoriesTable" displayName="UserStoriesTable" ref="A1:G7">
  <tableColumns count="7">
    <tableColumn id="1" xr3:uid="{00000000-0010-0000-0200-000001000000}" name="Story ID"/>
    <tableColumn id="2" xr3:uid="{00000000-0010-0000-0200-000002000000}" name="Role"/>
    <tableColumn id="3" xr3:uid="{00000000-0010-0000-0200-000003000000}" name="User Story"/>
    <tableColumn id="4" xr3:uid="{00000000-0010-0000-0200-000004000000}" name="Related Requirement"/>
    <tableColumn id="5" xr3:uid="{00000000-0010-0000-0200-000005000000}" name="Priority"/>
    <tableColumn id="6" xr3:uid="{00000000-0010-0000-0200-000006000000}" name="Acceptance Criteria"/>
    <tableColumn id="7" xr3:uid="{00000000-0010-0000-0200-000007000000}" name="Demo Evid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VPPrioritizationTable" displayName="MVPPrioritizationTable" ref="A1:K8">
  <tableColumns count="11">
    <tableColumn id="1" xr3:uid="{00000000-0010-0000-0300-000001000000}" name="Feature ID"/>
    <tableColumn id="2" xr3:uid="{00000000-0010-0000-0300-000002000000}" name="Feature Name"/>
    <tableColumn id="3" xr3:uid="{00000000-0010-0000-0300-000003000000}" name="Problem Solved"/>
    <tableColumn id="4" xr3:uid="{00000000-0010-0000-0300-000004000000}" name="Related Stories"/>
    <tableColumn id="5" xr3:uid="{00000000-0010-0000-0300-000005000000}" name="MoSCoW Priority"/>
    <tableColumn id="6" xr3:uid="{00000000-0010-0000-0300-000006000000}" name="Technical Complexity (1-5)"/>
    <tableColumn id="7" xr3:uid="{00000000-0010-0000-0300-000007000000}" name="User Value (1-5)"/>
    <tableColumn id="8" xr3:uid="{00000000-0010-0000-0300-000008000000}" name="Evidence Strength (1-5)"/>
    <tableColumn id="9" xr3:uid="{00000000-0010-0000-0300-000009000000}" name="MVP Score"/>
    <tableColumn id="10" xr3:uid="{00000000-0010-0000-0300-00000A000000}" name="Include in Final Prototype?"/>
    <tableColumn id="11" xr3:uid="{00000000-0010-0000-0300-00000B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raceabilityMatrixTable" displayName="TraceabilityMatrixTable" ref="A1:G6">
  <tableColumns count="7">
    <tableColumn id="1" xr3:uid="{00000000-0010-0000-0400-000001000000}" name="Evidence ID"/>
    <tableColumn id="2" xr3:uid="{00000000-0010-0000-0400-000002000000}" name="Problem Pattern"/>
    <tableColumn id="3" xr3:uid="{00000000-0010-0000-0400-000003000000}" name="Requirement ID"/>
    <tableColumn id="4" xr3:uid="{00000000-0010-0000-0400-000004000000}" name="User Story ID"/>
    <tableColumn id="5" xr3:uid="{00000000-0010-0000-0400-000005000000}" name="MVP Feature"/>
    <tableColumn id="6" xr3:uid="{00000000-0010-0000-0400-000006000000}" name="Prototype Screen / Module"/>
    <tableColumn id="7" xr3:uid="{00000000-0010-0000-0400-000007000000}" name="Final Deliverable Evid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D1" zoomScale="142" workbookViewId="0">
      <selection activeCell="K4" sqref="K4"/>
    </sheetView>
  </sheetViews>
  <sheetFormatPr baseColWidth="10" defaultColWidth="8.83203125" defaultRowHeight="14"/>
  <cols>
    <col min="1" max="1" width="13" customWidth="1"/>
    <col min="2" max="2" width="19" customWidth="1"/>
    <col min="3" max="3" width="45" customWidth="1"/>
    <col min="4" max="4" width="39.6640625" customWidth="1"/>
    <col min="5" max="5" width="53.6640625" customWidth="1"/>
    <col min="6" max="6" width="12.33203125" customWidth="1"/>
    <col min="7" max="7" width="10.6640625" customWidth="1"/>
    <col min="8" max="8" width="11.33203125" customWidth="1"/>
    <col min="9" max="9" width="23.33203125" customWidth="1"/>
  </cols>
  <sheetData>
    <row r="1" spans="1:9" ht="15">
      <c r="A1" s="1" t="s">
        <v>0</v>
      </c>
      <c r="B1" s="1" t="s">
        <v>1</v>
      </c>
      <c r="C1" s="1" t="s">
        <v>215</v>
      </c>
      <c r="D1" s="1" t="s">
        <v>2</v>
      </c>
      <c r="E1" s="1" t="s">
        <v>3</v>
      </c>
      <c r="F1" s="1" t="s">
        <v>4</v>
      </c>
      <c r="G1" s="1" t="s">
        <v>5</v>
      </c>
      <c r="H1" s="1" t="s">
        <v>6</v>
      </c>
      <c r="I1" s="1" t="s">
        <v>7</v>
      </c>
    </row>
    <row r="2" spans="1:9" ht="30" customHeight="1">
      <c r="A2" s="2" t="s">
        <v>8</v>
      </c>
      <c r="B2" s="2" t="s">
        <v>9</v>
      </c>
      <c r="C2" t="s">
        <v>217</v>
      </c>
      <c r="D2" t="s">
        <v>227</v>
      </c>
      <c r="E2" t="s">
        <v>237</v>
      </c>
      <c r="F2" s="2">
        <v>5</v>
      </c>
      <c r="G2" s="2">
        <v>4</v>
      </c>
      <c r="H2" s="2" t="s">
        <v>10</v>
      </c>
      <c r="I2" t="s">
        <v>246</v>
      </c>
    </row>
    <row r="3" spans="1:9" ht="30" customHeight="1">
      <c r="A3" s="2" t="s">
        <v>11</v>
      </c>
      <c r="B3" s="2" t="s">
        <v>9</v>
      </c>
      <c r="C3" t="s">
        <v>218</v>
      </c>
      <c r="D3" t="s">
        <v>228</v>
      </c>
      <c r="E3" t="s">
        <v>236</v>
      </c>
      <c r="F3" s="2">
        <v>4</v>
      </c>
      <c r="G3" s="2">
        <v>5</v>
      </c>
      <c r="H3" s="2" t="s">
        <v>10</v>
      </c>
      <c r="I3" t="s">
        <v>247</v>
      </c>
    </row>
    <row r="4" spans="1:9" ht="30" customHeight="1">
      <c r="A4" s="2" t="s">
        <v>12</v>
      </c>
      <c r="B4" s="2" t="s">
        <v>9</v>
      </c>
      <c r="C4" t="s">
        <v>219</v>
      </c>
      <c r="D4" t="s">
        <v>229</v>
      </c>
      <c r="E4" t="s">
        <v>238</v>
      </c>
      <c r="F4" s="2">
        <v>4</v>
      </c>
      <c r="G4" s="2">
        <v>3</v>
      </c>
      <c r="H4" s="2" t="s">
        <v>16</v>
      </c>
      <c r="I4" t="s">
        <v>248</v>
      </c>
    </row>
    <row r="5" spans="1:9" ht="30" customHeight="1">
      <c r="A5" s="2" t="s">
        <v>13</v>
      </c>
      <c r="B5" s="2" t="s">
        <v>9</v>
      </c>
      <c r="C5" t="s">
        <v>220</v>
      </c>
      <c r="D5" t="s">
        <v>230</v>
      </c>
      <c r="E5" t="s">
        <v>239</v>
      </c>
      <c r="F5" s="2">
        <v>4</v>
      </c>
      <c r="G5" s="2">
        <v>4</v>
      </c>
      <c r="H5" s="2" t="s">
        <v>10</v>
      </c>
      <c r="I5" t="s">
        <v>249</v>
      </c>
    </row>
    <row r="6" spans="1:9" ht="30" customHeight="1">
      <c r="A6" s="2" t="s">
        <v>15</v>
      </c>
      <c r="B6" s="2" t="s">
        <v>14</v>
      </c>
      <c r="C6" s="2" t="s">
        <v>221</v>
      </c>
      <c r="D6" t="s">
        <v>234</v>
      </c>
      <c r="E6" s="2" t="s">
        <v>240</v>
      </c>
      <c r="F6" s="2">
        <v>5</v>
      </c>
      <c r="G6" s="2">
        <v>4</v>
      </c>
      <c r="H6" s="2" t="s">
        <v>16</v>
      </c>
      <c r="I6" t="s">
        <v>250</v>
      </c>
    </row>
    <row r="7" spans="1:9" ht="30" customHeight="1">
      <c r="A7" s="2" t="s">
        <v>17</v>
      </c>
      <c r="B7" s="2" t="s">
        <v>9</v>
      </c>
      <c r="C7" t="s">
        <v>222</v>
      </c>
      <c r="D7" t="s">
        <v>231</v>
      </c>
      <c r="E7" s="2" t="s">
        <v>241</v>
      </c>
      <c r="F7" s="2">
        <v>3</v>
      </c>
      <c r="G7" s="2">
        <v>4</v>
      </c>
      <c r="H7" s="2" t="s">
        <v>10</v>
      </c>
      <c r="I7" t="s">
        <v>251</v>
      </c>
    </row>
    <row r="8" spans="1:9" ht="30" customHeight="1">
      <c r="A8" s="2" t="s">
        <v>18</v>
      </c>
      <c r="B8" s="2" t="s">
        <v>9</v>
      </c>
      <c r="C8" t="s">
        <v>223</v>
      </c>
      <c r="D8" t="s">
        <v>231</v>
      </c>
      <c r="E8" t="s">
        <v>242</v>
      </c>
      <c r="F8" s="2">
        <v>2</v>
      </c>
      <c r="G8" s="2">
        <v>2</v>
      </c>
      <c r="H8" s="2" t="s">
        <v>16</v>
      </c>
      <c r="I8" t="s">
        <v>252</v>
      </c>
    </row>
    <row r="9" spans="1:9" ht="30" customHeight="1">
      <c r="A9" s="2" t="s">
        <v>19</v>
      </c>
      <c r="B9" s="2" t="s">
        <v>9</v>
      </c>
      <c r="C9" t="s">
        <v>224</v>
      </c>
      <c r="D9" t="s">
        <v>232</v>
      </c>
      <c r="E9" t="s">
        <v>243</v>
      </c>
      <c r="F9" s="2">
        <v>4</v>
      </c>
      <c r="G9" s="2">
        <v>3</v>
      </c>
      <c r="H9" s="2" t="s">
        <v>16</v>
      </c>
      <c r="I9" t="s">
        <v>253</v>
      </c>
    </row>
    <row r="10" spans="1:9" ht="30" customHeight="1">
      <c r="A10" s="2" t="s">
        <v>20</v>
      </c>
      <c r="B10" s="2" t="s">
        <v>9</v>
      </c>
      <c r="C10" t="s">
        <v>225</v>
      </c>
      <c r="D10" t="s">
        <v>233</v>
      </c>
      <c r="E10" t="s">
        <v>244</v>
      </c>
      <c r="F10" s="2">
        <v>3</v>
      </c>
      <c r="G10" s="2">
        <v>3</v>
      </c>
      <c r="H10" s="2" t="s">
        <v>10</v>
      </c>
      <c r="I10" t="s">
        <v>254</v>
      </c>
    </row>
    <row r="11" spans="1:9" ht="30" customHeight="1">
      <c r="A11" s="2" t="s">
        <v>21</v>
      </c>
      <c r="B11" s="2" t="s">
        <v>216</v>
      </c>
      <c r="C11" t="s">
        <v>226</v>
      </c>
      <c r="D11" t="s">
        <v>235</v>
      </c>
      <c r="E11" t="s">
        <v>245</v>
      </c>
      <c r="F11" s="2">
        <v>3</v>
      </c>
      <c r="G11" s="2">
        <v>4</v>
      </c>
      <c r="H11" s="2" t="s">
        <v>10</v>
      </c>
      <c r="I11" t="s">
        <v>255</v>
      </c>
    </row>
    <row r="14" spans="1:9">
      <c r="A14" t="s">
        <v>22</v>
      </c>
      <c r="B14" t="s">
        <v>256</v>
      </c>
    </row>
    <row r="15" spans="1:9">
      <c r="A15" t="s">
        <v>23</v>
      </c>
      <c r="B15" t="s">
        <v>257</v>
      </c>
    </row>
    <row r="16" spans="1:9">
      <c r="A16" t="s">
        <v>24</v>
      </c>
      <c r="B16" t="s">
        <v>258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baseColWidth="10" defaultColWidth="8.83203125" defaultRowHeight="14"/>
  <cols>
    <col min="1" max="1" width="22" customWidth="1"/>
    <col min="2" max="3" width="55" customWidth="1"/>
  </cols>
  <sheetData>
    <row r="1" spans="1:3" ht="16">
      <c r="A1" s="3" t="s">
        <v>25</v>
      </c>
      <c r="B1" s="3" t="s">
        <v>26</v>
      </c>
      <c r="C1" s="3" t="s">
        <v>27</v>
      </c>
    </row>
    <row r="2" spans="1:3" ht="15">
      <c r="A2" s="2" t="s">
        <v>28</v>
      </c>
      <c r="B2" s="2" t="s">
        <v>29</v>
      </c>
      <c r="C2" s="2"/>
    </row>
    <row r="3" spans="1:3" ht="15">
      <c r="A3" s="2" t="s">
        <v>30</v>
      </c>
      <c r="B3" s="2" t="s">
        <v>31</v>
      </c>
      <c r="C3" s="2"/>
    </row>
    <row r="4" spans="1:3" ht="30">
      <c r="A4" s="2" t="s">
        <v>32</v>
      </c>
      <c r="B4" s="2" t="s">
        <v>33</v>
      </c>
      <c r="C4" s="2"/>
    </row>
    <row r="5" spans="1:3" ht="30">
      <c r="A5" s="2" t="s">
        <v>34</v>
      </c>
      <c r="B5" s="2" t="s">
        <v>35</v>
      </c>
      <c r="C5" s="2"/>
    </row>
    <row r="6" spans="1:3" ht="30">
      <c r="A6" s="2" t="s">
        <v>36</v>
      </c>
      <c r="B6" s="2" t="s">
        <v>37</v>
      </c>
      <c r="C6" s="2"/>
    </row>
    <row r="7" spans="1:3" ht="30">
      <c r="A7" s="2" t="s">
        <v>38</v>
      </c>
      <c r="B7" s="2" t="s">
        <v>39</v>
      </c>
      <c r="C7" s="2"/>
    </row>
    <row r="8" spans="1:3" ht="30">
      <c r="A8" s="2" t="s">
        <v>40</v>
      </c>
      <c r="B8" s="2" t="s">
        <v>41</v>
      </c>
      <c r="C8" s="2"/>
    </row>
    <row r="9" spans="1:3" ht="15">
      <c r="A9" s="2" t="s">
        <v>42</v>
      </c>
      <c r="B9" s="2" t="s">
        <v>43</v>
      </c>
      <c r="C9" s="2"/>
    </row>
    <row r="10" spans="1:3" ht="30">
      <c r="A10" s="2" t="s">
        <v>24</v>
      </c>
      <c r="B10" s="2" t="s">
        <v>44</v>
      </c>
      <c r="C1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workbookViewId="0"/>
  </sheetViews>
  <sheetFormatPr baseColWidth="10" defaultColWidth="8.83203125" defaultRowHeight="14"/>
  <cols>
    <col min="1" max="1" width="10" customWidth="1"/>
    <col min="2" max="2" width="18" customWidth="1"/>
    <col min="3" max="3" width="55" customWidth="1"/>
    <col min="4" max="4" width="18" customWidth="1"/>
    <col min="5" max="5" width="12" customWidth="1"/>
    <col min="6" max="6" width="20" customWidth="1"/>
    <col min="7" max="7" width="45" customWidth="1"/>
    <col min="8" max="8" width="16" customWidth="1"/>
  </cols>
  <sheetData>
    <row r="1" spans="1:8" ht="15">
      <c r="A1" s="4" t="s">
        <v>45</v>
      </c>
      <c r="B1" s="4" t="s">
        <v>46</v>
      </c>
      <c r="C1" s="4" t="s">
        <v>47</v>
      </c>
      <c r="D1" s="4" t="s">
        <v>48</v>
      </c>
      <c r="E1" s="4" t="s">
        <v>49</v>
      </c>
      <c r="F1" s="4" t="s">
        <v>50</v>
      </c>
      <c r="G1" s="4" t="s">
        <v>51</v>
      </c>
      <c r="H1" s="4" t="s">
        <v>52</v>
      </c>
    </row>
    <row r="2" spans="1:8" ht="45">
      <c r="A2" s="2" t="s">
        <v>53</v>
      </c>
      <c r="B2" s="2" t="s">
        <v>54</v>
      </c>
      <c r="C2" s="2" t="s">
        <v>55</v>
      </c>
      <c r="D2" s="2" t="s">
        <v>56</v>
      </c>
      <c r="E2" s="2" t="s">
        <v>57</v>
      </c>
      <c r="F2" s="2" t="s">
        <v>58</v>
      </c>
      <c r="G2" s="2" t="s">
        <v>59</v>
      </c>
      <c r="H2" s="2"/>
    </row>
    <row r="3" spans="1:8" ht="45">
      <c r="A3" s="2" t="s">
        <v>60</v>
      </c>
      <c r="B3" s="2" t="s">
        <v>54</v>
      </c>
      <c r="C3" s="2" t="s">
        <v>61</v>
      </c>
      <c r="D3" s="2" t="s">
        <v>62</v>
      </c>
      <c r="E3" s="2" t="s">
        <v>57</v>
      </c>
      <c r="F3" s="2" t="s">
        <v>58</v>
      </c>
      <c r="G3" s="2" t="s">
        <v>63</v>
      </c>
      <c r="H3" s="2"/>
    </row>
    <row r="4" spans="1:8" ht="30">
      <c r="A4" s="2" t="s">
        <v>64</v>
      </c>
      <c r="B4" s="2" t="s">
        <v>54</v>
      </c>
      <c r="C4" s="2" t="s">
        <v>65</v>
      </c>
      <c r="D4" s="2" t="s">
        <v>66</v>
      </c>
      <c r="E4" s="2" t="s">
        <v>57</v>
      </c>
      <c r="F4" s="2" t="s">
        <v>58</v>
      </c>
      <c r="G4" s="2" t="s">
        <v>67</v>
      </c>
      <c r="H4" s="2"/>
    </row>
    <row r="5" spans="1:8" ht="30">
      <c r="A5" s="2" t="s">
        <v>68</v>
      </c>
      <c r="B5" s="2" t="s">
        <v>54</v>
      </c>
      <c r="C5" s="2" t="s">
        <v>69</v>
      </c>
      <c r="D5" s="2" t="s">
        <v>70</v>
      </c>
      <c r="E5" s="2" t="s">
        <v>71</v>
      </c>
      <c r="F5" s="2" t="s">
        <v>58</v>
      </c>
      <c r="G5" s="2" t="s">
        <v>72</v>
      </c>
      <c r="H5" s="2"/>
    </row>
    <row r="6" spans="1:8" ht="30">
      <c r="A6" s="2" t="s">
        <v>73</v>
      </c>
      <c r="B6" s="2" t="s">
        <v>54</v>
      </c>
      <c r="C6" s="2" t="s">
        <v>74</v>
      </c>
      <c r="D6" s="2" t="s">
        <v>75</v>
      </c>
      <c r="E6" s="2" t="s">
        <v>57</v>
      </c>
      <c r="F6" s="2" t="s">
        <v>58</v>
      </c>
      <c r="G6" s="2" t="s">
        <v>76</v>
      </c>
      <c r="H6" s="2"/>
    </row>
    <row r="7" spans="1:8" ht="30">
      <c r="A7" s="2" t="s">
        <v>77</v>
      </c>
      <c r="B7" s="2" t="s">
        <v>54</v>
      </c>
      <c r="C7" s="2" t="s">
        <v>78</v>
      </c>
      <c r="D7" s="2" t="s">
        <v>21</v>
      </c>
      <c r="E7" s="2" t="s">
        <v>79</v>
      </c>
      <c r="F7" s="2" t="s">
        <v>80</v>
      </c>
      <c r="G7" s="2" t="s">
        <v>81</v>
      </c>
      <c r="H7" s="2"/>
    </row>
    <row r="8" spans="1:8" ht="30">
      <c r="A8" s="2" t="s">
        <v>82</v>
      </c>
      <c r="B8" s="2" t="s">
        <v>83</v>
      </c>
      <c r="C8" s="2" t="s">
        <v>84</v>
      </c>
      <c r="D8" s="2" t="s">
        <v>85</v>
      </c>
      <c r="E8" s="2" t="s">
        <v>57</v>
      </c>
      <c r="F8" s="2" t="s">
        <v>58</v>
      </c>
      <c r="G8" s="2" t="s">
        <v>86</v>
      </c>
      <c r="H8" s="2"/>
    </row>
    <row r="9" spans="1:8" ht="30">
      <c r="A9" s="2" t="s">
        <v>87</v>
      </c>
      <c r="B9" s="2" t="s">
        <v>83</v>
      </c>
      <c r="C9" s="2" t="s">
        <v>88</v>
      </c>
      <c r="D9" s="2" t="s">
        <v>20</v>
      </c>
      <c r="E9" s="2" t="s">
        <v>57</v>
      </c>
      <c r="F9" s="2" t="s">
        <v>58</v>
      </c>
      <c r="G9" s="2" t="s">
        <v>89</v>
      </c>
      <c r="H9" s="2"/>
    </row>
    <row r="10" spans="1:8" ht="30">
      <c r="A10" s="2" t="s">
        <v>90</v>
      </c>
      <c r="B10" s="2" t="s">
        <v>83</v>
      </c>
      <c r="C10" s="2" t="s">
        <v>91</v>
      </c>
      <c r="D10" s="2" t="s">
        <v>92</v>
      </c>
      <c r="E10" s="2" t="s">
        <v>71</v>
      </c>
      <c r="F10" s="2" t="s">
        <v>58</v>
      </c>
      <c r="G10" s="2" t="s">
        <v>93</v>
      </c>
      <c r="H10" s="2"/>
    </row>
    <row r="11" spans="1:8" ht="30">
      <c r="A11" s="2" t="s">
        <v>94</v>
      </c>
      <c r="B11" s="2" t="s">
        <v>83</v>
      </c>
      <c r="C11" s="2" t="s">
        <v>95</v>
      </c>
      <c r="D11" s="2" t="s">
        <v>96</v>
      </c>
      <c r="E11" s="2" t="s">
        <v>57</v>
      </c>
      <c r="F11" s="2" t="s">
        <v>58</v>
      </c>
      <c r="G11" s="2" t="s">
        <v>97</v>
      </c>
      <c r="H11" s="2"/>
    </row>
  </sheetData>
  <dataValidations count="3">
    <dataValidation type="list" sqref="E2:E30" xr:uid="{00000000-0002-0000-0200-000000000000}">
      <formula1>"Must,Should,Could,Won't for MVP"</formula1>
    </dataValidation>
    <dataValidation type="list" sqref="F2:F30" xr:uid="{00000000-0002-0000-0200-000001000000}">
      <formula1>"Yes,Optional,No"</formula1>
    </dataValidation>
    <dataValidation type="list" sqref="B2:B30" xr:uid="{00000000-0002-0000-0200-000002000000}">
      <formula1>"Functional,Non-Functional"</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heetViews>
  <sheetFormatPr baseColWidth="10" defaultColWidth="8.83203125" defaultRowHeight="14"/>
  <cols>
    <col min="1" max="1" width="12" customWidth="1"/>
    <col min="2" max="2" width="18" customWidth="1"/>
    <col min="3" max="3" width="55" customWidth="1"/>
    <col min="4" max="4" width="18" customWidth="1"/>
    <col min="5" max="5" width="12" customWidth="1"/>
    <col min="6" max="6" width="58" customWidth="1"/>
    <col min="7" max="7" width="25" customWidth="1"/>
  </cols>
  <sheetData>
    <row r="1" spans="1:7" ht="15">
      <c r="A1" s="5" t="s">
        <v>98</v>
      </c>
      <c r="B1" s="5" t="s">
        <v>99</v>
      </c>
      <c r="C1" s="5" t="s">
        <v>100</v>
      </c>
      <c r="D1" s="5" t="s">
        <v>101</v>
      </c>
      <c r="E1" s="5" t="s">
        <v>49</v>
      </c>
      <c r="F1" s="5" t="s">
        <v>102</v>
      </c>
      <c r="G1" s="5" t="s">
        <v>103</v>
      </c>
    </row>
    <row r="2" spans="1:7" ht="30">
      <c r="A2" s="2" t="s">
        <v>104</v>
      </c>
      <c r="B2" s="2" t="s">
        <v>9</v>
      </c>
      <c r="C2" s="2" t="s">
        <v>105</v>
      </c>
      <c r="D2" s="2" t="s">
        <v>53</v>
      </c>
      <c r="E2" s="2" t="s">
        <v>57</v>
      </c>
      <c r="F2" s="2" t="s">
        <v>106</v>
      </c>
      <c r="G2" s="2" t="s">
        <v>107</v>
      </c>
    </row>
    <row r="3" spans="1:7" ht="45">
      <c r="A3" s="2" t="s">
        <v>108</v>
      </c>
      <c r="B3" s="2" t="s">
        <v>109</v>
      </c>
      <c r="C3" s="2" t="s">
        <v>110</v>
      </c>
      <c r="D3" s="2" t="s">
        <v>60</v>
      </c>
      <c r="E3" s="2" t="s">
        <v>57</v>
      </c>
      <c r="F3" s="2" t="s">
        <v>111</v>
      </c>
      <c r="G3" s="2" t="s">
        <v>112</v>
      </c>
    </row>
    <row r="4" spans="1:7" ht="30">
      <c r="A4" s="2" t="s">
        <v>113</v>
      </c>
      <c r="B4" s="2" t="s">
        <v>9</v>
      </c>
      <c r="C4" s="2" t="s">
        <v>114</v>
      </c>
      <c r="D4" s="2" t="s">
        <v>64</v>
      </c>
      <c r="E4" s="2" t="s">
        <v>57</v>
      </c>
      <c r="F4" s="2" t="s">
        <v>115</v>
      </c>
      <c r="G4" s="2" t="s">
        <v>116</v>
      </c>
    </row>
    <row r="5" spans="1:7" ht="45">
      <c r="A5" s="2" t="s">
        <v>117</v>
      </c>
      <c r="B5" s="2" t="s">
        <v>9</v>
      </c>
      <c r="C5" s="2" t="s">
        <v>118</v>
      </c>
      <c r="D5" s="2" t="s">
        <v>119</v>
      </c>
      <c r="E5" s="2" t="s">
        <v>71</v>
      </c>
      <c r="F5" s="2" t="s">
        <v>120</v>
      </c>
      <c r="G5" s="2" t="s">
        <v>121</v>
      </c>
    </row>
    <row r="6" spans="1:7" ht="30">
      <c r="A6" s="2" t="s">
        <v>122</v>
      </c>
      <c r="B6" s="2" t="s">
        <v>123</v>
      </c>
      <c r="C6" s="2" t="s">
        <v>124</v>
      </c>
      <c r="D6" s="2" t="s">
        <v>73</v>
      </c>
      <c r="E6" s="2" t="s">
        <v>57</v>
      </c>
      <c r="F6" s="2" t="s">
        <v>125</v>
      </c>
      <c r="G6" s="2" t="s">
        <v>126</v>
      </c>
    </row>
    <row r="7" spans="1:7" ht="30">
      <c r="A7" s="2" t="s">
        <v>127</v>
      </c>
      <c r="B7" s="2" t="s">
        <v>9</v>
      </c>
      <c r="C7" s="2" t="s">
        <v>128</v>
      </c>
      <c r="D7" s="2" t="s">
        <v>129</v>
      </c>
      <c r="E7" s="2" t="s">
        <v>79</v>
      </c>
      <c r="F7" s="2" t="s">
        <v>130</v>
      </c>
      <c r="G7" s="2" t="s">
        <v>131</v>
      </c>
    </row>
  </sheetData>
  <dataValidations count="1">
    <dataValidation type="list" sqref="E2:E26" xr:uid="{00000000-0002-0000-0300-000000000000}">
      <formula1>"Must,Should,Could,Won't for MVP"</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
  <sheetViews>
    <sheetView workbookViewId="0"/>
  </sheetViews>
  <sheetFormatPr baseColWidth="10" defaultColWidth="8.83203125" defaultRowHeight="14"/>
  <cols>
    <col min="1" max="1" width="12" customWidth="1"/>
    <col min="2" max="2" width="24" customWidth="1"/>
    <col min="3" max="3" width="35" customWidth="1"/>
    <col min="4" max="6" width="18" customWidth="1"/>
    <col min="7" max="7" width="14" customWidth="1"/>
    <col min="8" max="8" width="16" customWidth="1"/>
    <col min="9" max="9" width="12" customWidth="1"/>
    <col min="10" max="10" width="22" customWidth="1"/>
    <col min="11" max="11" width="42" customWidth="1"/>
  </cols>
  <sheetData>
    <row r="1" spans="1:11" ht="15">
      <c r="A1" s="6" t="s">
        <v>132</v>
      </c>
      <c r="B1" s="6" t="s">
        <v>133</v>
      </c>
      <c r="C1" s="6" t="s">
        <v>134</v>
      </c>
      <c r="D1" s="6" t="s">
        <v>135</v>
      </c>
      <c r="E1" s="6" t="s">
        <v>136</v>
      </c>
      <c r="F1" s="6" t="s">
        <v>137</v>
      </c>
      <c r="G1" s="6" t="s">
        <v>138</v>
      </c>
      <c r="H1" s="6" t="s">
        <v>139</v>
      </c>
      <c r="I1" s="6" t="s">
        <v>140</v>
      </c>
      <c r="J1" s="6" t="s">
        <v>141</v>
      </c>
      <c r="K1" s="6" t="s">
        <v>142</v>
      </c>
    </row>
    <row r="2" spans="1:11" ht="30">
      <c r="A2" s="2" t="s">
        <v>143</v>
      </c>
      <c r="B2" s="2" t="s">
        <v>144</v>
      </c>
      <c r="C2" s="2" t="s">
        <v>145</v>
      </c>
      <c r="D2" s="2" t="s">
        <v>104</v>
      </c>
      <c r="E2" s="2" t="s">
        <v>57</v>
      </c>
      <c r="F2" s="2">
        <v>2</v>
      </c>
      <c r="G2" s="2">
        <v>5</v>
      </c>
      <c r="H2" s="2">
        <v>5</v>
      </c>
      <c r="I2" s="2">
        <f t="shared" ref="I2:I8" si="0">G2+H2-F2</f>
        <v>8</v>
      </c>
      <c r="J2" s="2" t="s">
        <v>58</v>
      </c>
      <c r="K2" s="2" t="s">
        <v>146</v>
      </c>
    </row>
    <row r="3" spans="1:11" ht="30">
      <c r="A3" s="2" t="s">
        <v>147</v>
      </c>
      <c r="B3" s="2" t="s">
        <v>148</v>
      </c>
      <c r="C3" s="2" t="s">
        <v>149</v>
      </c>
      <c r="D3" s="2" t="s">
        <v>108</v>
      </c>
      <c r="E3" s="2" t="s">
        <v>57</v>
      </c>
      <c r="F3" s="2">
        <v>2</v>
      </c>
      <c r="G3" s="2">
        <v>5</v>
      </c>
      <c r="H3" s="2">
        <v>4</v>
      </c>
      <c r="I3" s="2">
        <f t="shared" si="0"/>
        <v>7</v>
      </c>
      <c r="J3" s="2" t="s">
        <v>58</v>
      </c>
      <c r="K3" s="2" t="s">
        <v>150</v>
      </c>
    </row>
    <row r="4" spans="1:11" ht="30">
      <c r="A4" s="2" t="s">
        <v>151</v>
      </c>
      <c r="B4" s="2" t="s">
        <v>152</v>
      </c>
      <c r="C4" s="2" t="s">
        <v>153</v>
      </c>
      <c r="D4" s="2" t="s">
        <v>113</v>
      </c>
      <c r="E4" s="2" t="s">
        <v>57</v>
      </c>
      <c r="F4" s="2">
        <v>3</v>
      </c>
      <c r="G4" s="2">
        <v>5</v>
      </c>
      <c r="H4" s="2">
        <v>5</v>
      </c>
      <c r="I4" s="2">
        <f t="shared" si="0"/>
        <v>7</v>
      </c>
      <c r="J4" s="2" t="s">
        <v>58</v>
      </c>
      <c r="K4" s="2" t="s">
        <v>154</v>
      </c>
    </row>
    <row r="5" spans="1:11" ht="30">
      <c r="A5" s="2" t="s">
        <v>155</v>
      </c>
      <c r="B5" s="2" t="s">
        <v>156</v>
      </c>
      <c r="C5" s="2" t="s">
        <v>157</v>
      </c>
      <c r="D5" s="2" t="s">
        <v>117</v>
      </c>
      <c r="E5" s="2" t="s">
        <v>71</v>
      </c>
      <c r="F5" s="2">
        <v>3</v>
      </c>
      <c r="G5" s="2">
        <v>4</v>
      </c>
      <c r="H5" s="2">
        <v>3</v>
      </c>
      <c r="I5" s="2">
        <f t="shared" si="0"/>
        <v>4</v>
      </c>
      <c r="J5" s="2" t="s">
        <v>58</v>
      </c>
      <c r="K5" s="2" t="s">
        <v>158</v>
      </c>
    </row>
    <row r="6" spans="1:11" ht="15">
      <c r="A6" s="2" t="s">
        <v>159</v>
      </c>
      <c r="B6" s="2" t="s">
        <v>160</v>
      </c>
      <c r="C6" s="2" t="s">
        <v>161</v>
      </c>
      <c r="D6" s="2" t="s">
        <v>122</v>
      </c>
      <c r="E6" s="2" t="s">
        <v>57</v>
      </c>
      <c r="F6" s="2">
        <v>3</v>
      </c>
      <c r="G6" s="2">
        <v>5</v>
      </c>
      <c r="H6" s="2">
        <v>4</v>
      </c>
      <c r="I6" s="2">
        <f t="shared" si="0"/>
        <v>6</v>
      </c>
      <c r="J6" s="2" t="s">
        <v>58</v>
      </c>
      <c r="K6" s="2" t="s">
        <v>162</v>
      </c>
    </row>
    <row r="7" spans="1:11" ht="30">
      <c r="A7" s="2" t="s">
        <v>163</v>
      </c>
      <c r="B7" s="2" t="s">
        <v>164</v>
      </c>
      <c r="C7" s="2" t="s">
        <v>165</v>
      </c>
      <c r="D7" s="2" t="s">
        <v>127</v>
      </c>
      <c r="E7" s="2" t="s">
        <v>79</v>
      </c>
      <c r="F7" s="2">
        <v>4</v>
      </c>
      <c r="G7" s="2">
        <v>3</v>
      </c>
      <c r="H7" s="2">
        <v>2</v>
      </c>
      <c r="I7" s="2">
        <f t="shared" si="0"/>
        <v>1</v>
      </c>
      <c r="J7" s="2" t="s">
        <v>80</v>
      </c>
      <c r="K7" s="2" t="s">
        <v>166</v>
      </c>
    </row>
    <row r="8" spans="1:11" ht="30">
      <c r="A8" s="2" t="s">
        <v>167</v>
      </c>
      <c r="B8" s="2" t="s">
        <v>168</v>
      </c>
      <c r="C8" s="2" t="s">
        <v>169</v>
      </c>
      <c r="D8" s="2" t="s">
        <v>170</v>
      </c>
      <c r="E8" s="2" t="s">
        <v>171</v>
      </c>
      <c r="F8" s="2">
        <v>5</v>
      </c>
      <c r="G8" s="2">
        <v>2</v>
      </c>
      <c r="H8" s="2">
        <v>1</v>
      </c>
      <c r="I8" s="2">
        <f t="shared" si="0"/>
        <v>-2</v>
      </c>
      <c r="J8" s="2" t="s">
        <v>172</v>
      </c>
      <c r="K8" s="2" t="s">
        <v>173</v>
      </c>
    </row>
  </sheetData>
  <dataValidations count="3">
    <dataValidation type="list" sqref="E2:E27" xr:uid="{00000000-0002-0000-0400-000000000000}">
      <formula1>"Must,Should,Could,Won't for MVP"</formula1>
    </dataValidation>
    <dataValidation type="list" sqref="J2:J27" xr:uid="{00000000-0002-0000-0400-000001000000}">
      <formula1>"Yes,Optional,No"</formula1>
    </dataValidation>
    <dataValidation sqref="F2:H27" xr:uid="{00000000-0002-0000-0400-000002000000}">
      <formula1>1</formula1>
      <formula2>5</formula2>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heetViews>
  <sheetFormatPr baseColWidth="10" defaultColWidth="8.83203125" defaultRowHeight="14"/>
  <cols>
    <col min="1" max="1" width="18" customWidth="1"/>
    <col min="2" max="2" width="38" customWidth="1"/>
    <col min="3" max="4" width="20" customWidth="1"/>
    <col min="5" max="5" width="22" customWidth="1"/>
    <col min="6" max="6" width="30" customWidth="1"/>
    <col min="7" max="7" width="42" customWidth="1"/>
  </cols>
  <sheetData>
    <row r="1" spans="1:7" ht="15">
      <c r="A1" s="7" t="s">
        <v>0</v>
      </c>
      <c r="B1" s="7" t="s">
        <v>174</v>
      </c>
      <c r="C1" s="7" t="s">
        <v>175</v>
      </c>
      <c r="D1" s="7" t="s">
        <v>176</v>
      </c>
      <c r="E1" s="7" t="s">
        <v>177</v>
      </c>
      <c r="F1" s="7" t="s">
        <v>178</v>
      </c>
      <c r="G1" s="7" t="s">
        <v>179</v>
      </c>
    </row>
    <row r="2" spans="1:7" ht="30">
      <c r="A2" s="2" t="s">
        <v>66</v>
      </c>
      <c r="B2" s="2" t="s">
        <v>180</v>
      </c>
      <c r="C2" s="2" t="s">
        <v>181</v>
      </c>
      <c r="D2" s="2" t="s">
        <v>182</v>
      </c>
      <c r="E2" s="2" t="s">
        <v>183</v>
      </c>
      <c r="F2" s="2" t="s">
        <v>184</v>
      </c>
      <c r="G2" s="2" t="s">
        <v>185</v>
      </c>
    </row>
    <row r="3" spans="1:7" ht="30">
      <c r="A3" s="2" t="s">
        <v>186</v>
      </c>
      <c r="B3" s="2" t="s">
        <v>187</v>
      </c>
      <c r="C3" s="2" t="s">
        <v>188</v>
      </c>
      <c r="D3" s="2" t="s">
        <v>189</v>
      </c>
      <c r="E3" s="2" t="s">
        <v>190</v>
      </c>
      <c r="F3" s="2" t="s">
        <v>191</v>
      </c>
      <c r="G3" s="2" t="s">
        <v>192</v>
      </c>
    </row>
    <row r="4" spans="1:7" ht="15">
      <c r="A4" s="2" t="s">
        <v>70</v>
      </c>
      <c r="B4" s="2" t="s">
        <v>193</v>
      </c>
      <c r="C4" s="2" t="s">
        <v>119</v>
      </c>
      <c r="D4" s="2" t="s">
        <v>117</v>
      </c>
      <c r="E4" s="2" t="s">
        <v>155</v>
      </c>
      <c r="F4" s="2" t="s">
        <v>194</v>
      </c>
      <c r="G4" s="2" t="s">
        <v>195</v>
      </c>
    </row>
    <row r="5" spans="1:7" ht="15">
      <c r="A5" s="2" t="s">
        <v>21</v>
      </c>
      <c r="B5" s="2" t="s">
        <v>196</v>
      </c>
      <c r="C5" s="2" t="s">
        <v>129</v>
      </c>
      <c r="D5" s="2" t="s">
        <v>197</v>
      </c>
      <c r="E5" s="2" t="s">
        <v>198</v>
      </c>
      <c r="F5" s="2" t="s">
        <v>199</v>
      </c>
      <c r="G5" s="2" t="s">
        <v>200</v>
      </c>
    </row>
    <row r="6" spans="1:7" ht="15">
      <c r="A6" s="2" t="s">
        <v>96</v>
      </c>
      <c r="B6" s="2" t="s">
        <v>201</v>
      </c>
      <c r="C6" s="2" t="s">
        <v>94</v>
      </c>
      <c r="D6" s="2" t="s">
        <v>202</v>
      </c>
      <c r="E6" s="2" t="s">
        <v>202</v>
      </c>
      <c r="F6" s="2" t="s">
        <v>203</v>
      </c>
      <c r="G6" s="2" t="s">
        <v>204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workbookViewId="0">
      <selection activeCell="B13" sqref="B13"/>
    </sheetView>
  </sheetViews>
  <sheetFormatPr baseColWidth="10" defaultColWidth="8.83203125" defaultRowHeight="14"/>
  <cols>
    <col min="1" max="1" width="24" customWidth="1"/>
    <col min="2" max="2" width="90" customWidth="1"/>
  </cols>
  <sheetData>
    <row r="1" spans="1:2" ht="31">
      <c r="A1" s="8" t="s">
        <v>205</v>
      </c>
      <c r="B1" s="9" t="s">
        <v>206</v>
      </c>
    </row>
    <row r="2" spans="1:2" ht="31">
      <c r="A2" s="8" t="s">
        <v>207</v>
      </c>
      <c r="B2" s="9" t="s">
        <v>208</v>
      </c>
    </row>
    <row r="3" spans="1:2" ht="31">
      <c r="A3" s="8" t="s">
        <v>209</v>
      </c>
      <c r="B3" s="9" t="s">
        <v>210</v>
      </c>
    </row>
    <row r="4" spans="1:2" ht="31">
      <c r="A4" s="8" t="s">
        <v>211</v>
      </c>
      <c r="B4" s="9" t="s">
        <v>212</v>
      </c>
    </row>
    <row r="5" spans="1:2" ht="31">
      <c r="A5" s="8" t="s">
        <v>213</v>
      </c>
      <c r="B5" s="9"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Evidence_Summary</vt:lpstr>
      <vt:lpstr>Persona_Template</vt:lpstr>
      <vt:lpstr>Requirements_Backlog</vt:lpstr>
      <vt:lpstr>User_Stories</vt:lpstr>
      <vt:lpstr>MVP_Prioritization</vt:lpstr>
      <vt:lpstr>Traceability_Matrix</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HTETMYAT NOE</cp:lastModifiedBy>
  <dcterms:created xsi:type="dcterms:W3CDTF">2026-06-27T12:47:58Z</dcterms:created>
  <dcterms:modified xsi:type="dcterms:W3CDTF">2026-06-27T12:47:58Z</dcterms:modified>
</cp:coreProperties>
</file>